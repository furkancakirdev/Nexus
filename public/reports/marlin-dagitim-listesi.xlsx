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7b08a9d3f14a98" /></Relationships>
</file>

<file path=xl/workbook.xml><?xml version="1.0" encoding="utf-8"?>
<x:workbook xmlns:x="http://schemas.openxmlformats.org/spreadsheetml/2006/main">
  <x:sheets>
    <x:sheet xmlns:r="http://schemas.openxmlformats.org/officeDocument/2006/relationships" name="Yönetim Özeti" sheetId="1" r:id="R0a8301f97b424176"/>
    <x:sheet xmlns:r="http://schemas.openxmlformats.org/officeDocument/2006/relationships" name="Varsayımlar" sheetId="2" r:id="Re0dd29c559954d83"/>
    <x:sheet xmlns:r="http://schemas.openxmlformats.org/officeDocument/2006/relationships" name="Dağıtım Listesi" sheetId="3" r:id="Rbe5dc18129804791"/>
    <x:sheet xmlns:r="http://schemas.openxmlformats.org/officeDocument/2006/relationships" name="Kontroller" sheetId="4" r:id="R4cc3693f3e104e37"/>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quot;TL&quot;"/>
    <x:numFmt numFmtId="201" formatCode="0%"/>
    <x:numFmt numFmtId="202" formatCode="0"/>
    <x:numFmt numFmtId="203" formatCode="0.00"/>
    <x:numFmt numFmtId="204" formatCode="0.0"/>
    <x:numFmt numFmtId="205" formatCode="0.000"/>
  </x:numFmts>
  <x:fonts count="9">
    <x:font>
      <x:sz val="11"/>
      <x:name val="Carlito"/>
    </x:font>
    <x:font>
      <x:b/>
      <x:sz val="16"/>
      <x:color rgb="FFFFFFFF"/>
      <x:name val="Carlito"/>
    </x:font>
    <x:font>
      <x:b/>
      <x:sz val="11"/>
      <x:color rgb="FF40536C"/>
      <x:name val="Carlito"/>
    </x:font>
    <x:font>
      <x:b/>
      <x:sz val="11"/>
      <x:color rgb="FFFFFFFF"/>
      <x:name val="Carlito"/>
    </x:font>
    <x:font>
      <x:b/>
      <x:sz val="17"/>
      <x:color rgb="FFFFFFFF"/>
      <x:name val="Carlito"/>
    </x:font>
    <x:font>
      <x:b/>
      <x:sz val="11"/>
      <x:color rgb="FF102A49"/>
      <x:name val="Carlito"/>
    </x:font>
    <x:font>
      <x:b/>
      <x:sz val="11"/>
      <x:color rgb="FF176340"/>
      <x:name val="Carlito"/>
    </x:font>
    <x:font>
      <x:sz val="11"/>
      <x:color rgb="FF52677D"/>
      <x:name val="Carlito"/>
    </x:font>
    <x:font>
      <x:b/>
      <x:sz val="11"/>
      <x:name val="Carlito"/>
    </x:font>
  </x:fonts>
  <x:fills count="7">
    <x:fill>
      <x:patternFill patternType="none"/>
    </x:fill>
    <x:fill>
      <x:patternFill patternType="gray125"/>
    </x:fill>
    <x:fill>
      <x:patternFill patternType="solid">
        <x:fgColor rgb="FF0A3972"/>
      </x:patternFill>
    </x:fill>
    <x:fill>
      <x:patternFill patternType="solid">
        <x:fgColor rgb="FFEDF3FA"/>
      </x:patternFill>
    </x:fill>
    <x:fill>
      <x:patternFill patternType="solid">
        <x:fgColor rgb="FFF8FAFC"/>
      </x:patternFill>
    </x:fill>
    <x:fill>
      <x:patternFill patternType="solid">
        <x:fgColor rgb="FFE9F6EF"/>
      </x:patternFill>
    </x:fill>
    <x:fill>
      <x:patternFill patternType="solid">
        <x:fgColor rgb="FFF7FBF9"/>
      </x:patternFill>
    </x:fill>
  </x:fills>
  <x:borders count="10">
    <x:border/>
    <x:border>
      <x:right style="thin">
        <x:color rgb="FFE1E7EF"/>
      </x:right>
      <x:bottom style="thin">
        <x:color rgb="FFE1E7EF"/>
      </x:bottom>
    </x:border>
    <x:border>
      <x:left style="thin">
        <x:color rgb="FFE1E7EF"/>
      </x:left>
      <x:right style="thin">
        <x:color rgb="FFE1E7EF"/>
      </x:right>
      <x:bottom style="thin">
        <x:color rgb="FFE1E7EF"/>
      </x:bottom>
    </x:border>
    <x:border>
      <x:left style="thin">
        <x:color rgb="FFE1E7EF"/>
      </x:left>
      <x:bottom style="thin">
        <x:color rgb="FFE1E7EF"/>
      </x:bottom>
    </x:border>
    <x:border>
      <x:right style="thin">
        <x:color rgb="FFE1E7EF"/>
      </x:right>
      <x:top style="thin">
        <x:color rgb="FFE1E7EF"/>
      </x:top>
      <x:bottom style="thin">
        <x:color rgb="FFE1E7EF"/>
      </x:bottom>
    </x:border>
    <x:border>
      <x:left style="thin">
        <x:color rgb="FFE1E7EF"/>
      </x:left>
      <x:right style="thin">
        <x:color rgb="FFE1E7EF"/>
      </x:right>
      <x:top style="thin">
        <x:color rgb="FFE1E7EF"/>
      </x:top>
      <x:bottom style="thin">
        <x:color rgb="FFE1E7EF"/>
      </x:bottom>
    </x:border>
    <x:border>
      <x:left style="thin">
        <x:color rgb="FFE1E7EF"/>
      </x:left>
      <x:top style="thin">
        <x:color rgb="FFE1E7EF"/>
      </x:top>
      <x:bottom style="thin">
        <x:color rgb="FFE1E7EF"/>
      </x:bottom>
    </x:border>
    <x:border>
      <x:right style="thin">
        <x:color rgb="FFE1E7EF"/>
      </x:right>
      <x:top style="thin">
        <x:color rgb="FFE1E7EF"/>
      </x:top>
    </x:border>
    <x:border>
      <x:left style="thin">
        <x:color rgb="FFE1E7EF"/>
      </x:left>
      <x:right style="thin">
        <x:color rgb="FFE1E7EF"/>
      </x:right>
      <x:top style="thin">
        <x:color rgb="FFE1E7EF"/>
      </x:top>
    </x:border>
    <x:border>
      <x:left style="thin">
        <x:color rgb="FFE1E7EF"/>
      </x:left>
      <x:top style="thin">
        <x:color rgb="FFE1E7EF"/>
      </x:top>
    </x:border>
  </x:borders>
  <x:cellStyleXfs count="1">
    <x:xf numFmtId="0" fontId="0" fillId="0" borderId="0"/>
  </x:cellStyleXfs>
  <x:cellXfs count="4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202" fontId="0" fillId="0" borderId="2" xfId="0" applyNumberFormat="1" applyFont="1" applyFill="1" applyBorder="1"/>
    <x:xf numFmtId="202" fontId="0" fillId="0" borderId="5" xfId="0" applyNumberFormat="1" applyFont="1" applyFill="1" applyBorder="1"/>
    <x:xf numFmtId="202" fontId="0" fillId="0" borderId="8" xfId="0" applyNumberFormat="1" applyFont="1" applyFill="1" applyBorder="1"/>
    <x:xf numFmtId="201" fontId="0" fillId="0" borderId="2" xfId="0" applyNumberFormat="1" applyFont="1" applyFill="1" applyBorder="1"/>
    <x:xf numFmtId="201" fontId="0" fillId="0" borderId="5" xfId="0" applyNumberFormat="1" applyFont="1" applyFill="1" applyBorder="1"/>
    <x:xf numFmtId="201" fontId="0" fillId="0" borderId="8" xfId="0" applyNumberFormat="1" applyFont="1" applyFill="1" applyBorder="1"/>
    <x:xf numFmtId="203" fontId="0" fillId="0" borderId="2" xfId="0" applyNumberFormat="1" applyFont="1" applyFill="1" applyBorder="1"/>
    <x:xf numFmtId="203" fontId="0" fillId="0" borderId="5" xfId="0" applyNumberFormat="1" applyFont="1" applyFill="1" applyBorder="1"/>
    <x:xf numFmtId="203" fontId="0" fillId="0" borderId="8" xfId="0" applyNumberFormat="1" applyFont="1" applyFill="1" applyBorder="1"/>
    <x:xf numFmtId="204" fontId="0" fillId="0" borderId="2" xfId="0" applyNumberFormat="1" applyFont="1" applyFill="1" applyBorder="1"/>
    <x:xf numFmtId="204" fontId="0" fillId="0" borderId="5" xfId="0" applyNumberFormat="1" applyFont="1" applyFill="1" applyBorder="1"/>
    <x:xf numFmtId="204" fontId="0" fillId="0" borderId="8" xfId="0" applyNumberFormat="1" applyFont="1" applyFill="1" applyBorder="1"/>
    <x:xf numFmtId="205" fontId="0" fillId="0" borderId="2" xfId="0" applyNumberFormat="1" applyFont="1" applyFill="1" applyBorder="1"/>
    <x:xf numFmtId="205" fontId="0" fillId="0" borderId="5" xfId="0" applyNumberFormat="1" applyFont="1" applyFill="1" applyBorder="1"/>
    <x:xf numFmtId="205" fontId="0" fillId="0" borderId="8" xfId="0" applyNumberFormat="1" applyFont="1" applyFill="1" applyBorder="1"/>
    <x:xf numFmtId="200" fontId="0" fillId="0" borderId="2" xfId="0" applyNumberFormat="1" applyFont="1" applyFill="1" applyBorder="1"/>
    <x:xf numFmtId="200" fontId="0" fillId="0" borderId="5" xfId="0" applyNumberFormat="1" applyFont="1" applyFill="1" applyBorder="1"/>
    <x:xf numFmtId="200" fontId="0" fillId="0" borderId="8" xfId="0" applyNumberFormat="1" applyFont="1" applyFill="1" applyBorder="1"/>
    <x:xf numFmtId="0" fontId="4" fillId="2"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200" fontId="5" fillId="4" borderId="0" xfId="0" applyNumberFormat="1" applyFont="1" applyFill="1" applyBorder="1"/>
    <x:xf numFmtId="204" fontId="5" fillId="4"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8" fillId="0" borderId="0" xfId="0" applyNumberFormat="1" applyFont="1" applyFill="1" applyBorder="1"/>
  </x:cellXfs>
  <x:cellStyles count="1">
    <x:cellStyle name="Normal" xfId="0"/>
  </x:cellStyles>
  <x:dxfs count="2">
    <x:dxf>
      <x:font>
        <x:b/>
        <x:color rgb="FFB8323B"/>
      </x:font>
      <x:fill>
        <x:patternFill patternType="solid">
          <x:bgColor rgb="FFFFF0F1"/>
        </x:patternFill>
      </x:fill>
    </x:dxf>
    <x:dxf>
      <x:font>
        <x:b/>
        <x:color rgb="FF16884E"/>
      </x:font>
      <x:fill>
        <x:patternFill patternType="solid">
          <x:bgColor rgb="FFE9F6E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b09e62d9d6466b" /><Relationship Type="http://schemas.openxmlformats.org/officeDocument/2006/relationships/theme" Target="/xl/theme/theme1.xml" Id="Rf0c437cb0d434ea5" /><Relationship Type="http://schemas.openxmlformats.org/officeDocument/2006/relationships/sharedStrings" Target="/xl/sharedStrings.xml" Id="R940c1a69aa98480f" /><Relationship Type="http://schemas.openxmlformats.org/officeDocument/2006/relationships/worksheet" Target="/xl/worksheets/sheet1.xml" Id="R0a8301f97b424176" /><Relationship Type="http://schemas.openxmlformats.org/officeDocument/2006/relationships/worksheet" Target="/xl/worksheets/sheet2.xml" Id="Re0dd29c559954d83" /><Relationship Type="http://schemas.openxmlformats.org/officeDocument/2006/relationships/worksheet" Target="/xl/worksheets/sheet3.xml" Id="Rbe5dc18129804791" /><Relationship Type="http://schemas.openxmlformats.org/officeDocument/2006/relationships/worksheet" Target="/xl/worksheets/sheet4.xml" Id="R4cc3693f3e104e37" /></Relationships>
</file>

<file path=xl/tables/table1.xml><?xml version="1.0" encoding="utf-8"?>
<x:table xmlns:x="http://schemas.openxmlformats.org/spreadsheetml/2006/main" id="1" name="DagitimListesi" displayName="DagitimListesi" ref="A1:M9" headerRowCount="1" totalsRowCount="0" totalsRowShown="0">
  <x:tableColumns count="13">
    <x:tableColumn id="1" name="Personel"/>
    <x:tableColumn id="2" name="Departman"/>
    <x:tableColumn id="3" name="Unvan"/>
    <x:tableColumn id="4" name="Ekip Skoru"/>
    <x:tableColumn id="5" name="Bireysel Skor"/>
    <x:tableColumn id="6" name="Çalışma Oranı"/>
    <x:tableColumn id="7" name="Ücret Katsayısı"/>
    <x:tableColumn id="8" name="Kıdem (Ay)"/>
    <x:tableColumn id="9" name="Durum"/>
    <x:tableColumn id="10" name="Ağırlıklı Skor"/>
    <x:tableColumn id="11" name="Dağıtım Ağırlığı"/>
    <x:tableColumn id="12" name="Tahmini Pay"/>
    <x:tableColumn id="13" name="Uygunlu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73387b541f0f431b"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2" customHeight="1">
      <x:c r="A1" s="36" t="str">
        <x:v>Marlin Yatçılık - 2026 Kâr Paylaşımı Yönetim Özeti</x:v>
      </x:c>
      <x:c r="B1" s="36"/>
      <x:c r="C1" s="36"/>
      <x:c r="D1" s="36"/>
      <x:c r="E1" s="36"/>
      <x:c r="F1" s="36"/>
      <x:c r="G1" s="36"/>
      <x:c r="H1" s="36"/>
    </x:row>
    <x:row r="3">
      <x:c r="A3" t="str">
        <x:v>Rapor dönemi</x:v>
      </x:c>
      <x:c r="B3" t="n">
        <x:v>2026</x:v>
      </x:c>
      <x:c r="D3" s="4" t="str">
        <x:v>Net dağıtım havuzu</x:v>
      </x:c>
      <x:c r="E3" s="39" t="n">
        <x:f>'Varsayımlar'!B3</x:f>
        <x:v>24885095</x:v>
      </x:c>
    </x:row>
    <x:row r="4">
      <x:c r="A4" t="str">
        <x:v>Senaryo</x:v>
      </x:c>
      <x:c r="B4" t="str">
        <x:v>Temel</x:v>
      </x:c>
      <x:c r="D4" s="4" t="str">
        <x:v>Uygun personel</x:v>
      </x:c>
      <x:c r="E4" s="38" t="n">
        <x:f>COUNTIF('Dağıtım Listesi'!M2:M9,"Uygun")</x:f>
        <x:v>7</x:v>
      </x:c>
    </x:row>
    <x:row r="5">
      <x:c r="A5" t="str">
        <x:v>Politika</x:v>
      </x:c>
      <x:c r="B5" t="str">
        <x:v>v1.0</x:v>
      </x:c>
      <x:c r="D5" s="4" t="str">
        <x:v>Ortalama hedef skoru</x:v>
      </x:c>
      <x:c r="E5" s="40" t="n">
        <x:f>AVERAGE('Dağıtım Listesi'!J2:J9)</x:f>
        <x:v>87.325</x:v>
      </x:c>
    </x:row>
    <x:row r="6">
      <x:c r="A6" t="str">
        <x:v>Kaynak</x:v>
      </x:c>
      <x:c r="B6" t="str">
        <x:v>CPM salt okunur + Pilot İK</x:v>
      </x:c>
      <x:c r="D6" s="4" t="str">
        <x:v>Model durumu</x:v>
      </x:c>
      <x:c r="E6" s="38" t="str">
        <x:f>'Kontroller'!B2</x:f>
        <x:v>PASS</x:v>
      </x:c>
    </x:row>
    <x:row r="8">
      <x:c r="A8" s="42" t="str">
        <x:v>Yönetim Notları</x:v>
      </x:c>
      <x:c r="B8" s="42"/>
      <x:c r="C8" s="42"/>
      <x:c r="D8" s="42"/>
      <x:c r="E8" s="42"/>
      <x:c r="F8" s="42"/>
      <x:c r="G8" s="42"/>
      <x:c r="H8" s="42"/>
    </x:row>
    <x:row r="9">
      <x:c r="A9" s="46" t="str">
        <x:v>Net havuz temel senaryo ve risk rezervi sonrası tutardır. Kişi payları hedef skoru, çalışma oranı ve ücret katsayısına göre normalize edilir. Kesin ödeme için tüm kapanış engellerinin giderilmesi ve Yönetim onayı gerekir. CPM bağlantısı salt okunurdur.</x:v>
      </x:c>
      <x:c r="B9" s="46"/>
      <x:c r="C9" s="46"/>
      <x:c r="D9" s="46"/>
      <x:c r="E9" s="46"/>
      <x:c r="F9" s="46"/>
      <x:c r="G9" s="46"/>
      <x:c r="H9" s="46"/>
    </x:row>
    <x:row r="10">
      <x:c r="A10" s="46"/>
      <x:c r="B10" s="46"/>
      <x:c r="C10" s="46"/>
      <x:c r="D10" s="46"/>
      <x:c r="E10" s="46"/>
      <x:c r="F10" s="46"/>
      <x:c r="G10" s="46"/>
      <x:c r="H10" s="46"/>
    </x:row>
    <x:row r="11">
      <x:c r="A11" s="46"/>
      <x:c r="B11" s="46"/>
      <x:c r="C11" s="46"/>
      <x:c r="D11" s="46"/>
      <x:c r="E11" s="46"/>
      <x:c r="F11" s="46"/>
      <x:c r="G11" s="46"/>
      <x:c r="H11" s="46"/>
    </x:row>
    <x:row r="12">
      <x:c r="A12" s="46"/>
      <x:c r="B12" s="46"/>
      <x:c r="C12" s="46"/>
      <x:c r="D12" s="46"/>
      <x:c r="E12" s="46"/>
      <x:c r="F12" s="46"/>
      <x:c r="G12" s="46"/>
      <x:c r="H12" s="46"/>
    </x:row>
  </x:sheetData>
  <x:mergeCells>
    <x:mergeCell ref="A1:H1"/>
    <x:mergeCell ref="A8:H8"/>
    <x:mergeCell ref="A9: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s>
  <x:sheetData>
    <x:row r="1" ht="30" customHeight="1">
      <x:c r="A1" s="2" t="str">
        <x:v>Marlin Kâr Paylaşımı - Model Varsayımları</x:v>
      </x:c>
      <x:c r="B1" s="2"/>
      <x:c r="C1" s="2"/>
      <x:c r="D1" s="2"/>
    </x:row>
    <x:row r="3">
      <x:c r="A3" s="4" t="str">
        <x:v>Net dağıtım havuzu</x:v>
      </x:c>
      <x:c r="B3" s="5" t="n">
        <x:v>24885095</x:v>
      </x:c>
    </x:row>
    <x:row r="4">
      <x:c r="A4" s="4" t="str">
        <x:v>Şirket hedef ağırlığı</x:v>
      </x:c>
      <x:c r="B4" s="6" t="n">
        <x:v>0.4</x:v>
      </x:c>
    </x:row>
    <x:row r="5">
      <x:c r="A5" s="4" t="str">
        <x:v>Ekip hedef ağırlığı</x:v>
      </x:c>
      <x:c r="B5" s="6" t="n">
        <x:v>0.3</x:v>
      </x:c>
    </x:row>
    <x:row r="6">
      <x:c r="A6" s="4" t="str">
        <x:v>Bireysel hedef ağırlığı</x:v>
      </x:c>
      <x:c r="B6" s="6" t="n">
        <x:v>0.3</x:v>
      </x:c>
    </x:row>
    <x:row r="7">
      <x:c r="A7" s="4" t="str">
        <x:v>Şirket hedef skoru</x:v>
      </x:c>
      <x:c r="B7" t="n">
        <x:v>88</x:v>
      </x:c>
    </x:row>
    <x:row r="8">
      <x:c r="A8" s="4" t="str">
        <x:v>Asgari hedef skoru</x:v>
      </x:c>
      <x:c r="B8" t="n">
        <x:v>80</x:v>
      </x:c>
    </x:row>
    <x:row r="9">
      <x:c r="A9" s="4" t="str">
        <x:v>Azami performans çarpanı</x:v>
      </x:c>
      <x:c r="B9" s="6" t="n">
        <x:v>1.2</x:v>
      </x:c>
    </x:row>
    <x:row r="10">
      <x:c r="A10" s="4" t="str">
        <x:v>Asgari kıdem (ay)</x:v>
      </x:c>
      <x:c r="B10" t="n">
        <x:v>6</x:v>
      </x:c>
    </x:row>
    <x:row r="11">
      <x:c r="A11" s="4" t="str">
        <x:v>Rapor yılı</x:v>
      </x:c>
      <x:c r="B11" t="n">
        <x:v>2026</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2" hidden="0" customWidth="1"/>
    <x:col min="4" max="4" width="8.5" hidden="0" customWidth="1"/>
    <x:col min="5" max="5" width="10.25" hidden="0" customWidth="1"/>
    <x:col min="6" max="6" width="11.130000114440918" hidden="0" customWidth="1"/>
    <x:col min="7" max="7" width="11.75" hidden="0" customWidth="1"/>
    <x:col min="8" max="8" width="8.880000114440918" hidden="0" customWidth="1"/>
    <x:col min="9" max="9" width="18" hidden="0" customWidth="1"/>
    <x:col min="10" max="10" width="10.130000114440918" hidden="0" customWidth="1"/>
    <x:col min="11" max="11" width="12.25" hidden="0" customWidth="1"/>
    <x:col min="12" max="12" width="10.130000114440918" hidden="0" customWidth="1"/>
    <x:col min="13" max="13" width="14" hidden="0" customWidth="1"/>
  </x:cols>
  <x:sheetData>
    <x:row r="1" ht="28" customHeight="1">
      <x:c r="A1" s="8" t="str">
        <x:v>Personel</x:v>
      </x:c>
      <x:c r="B1" s="8" t="str">
        <x:v>Departman</x:v>
      </x:c>
      <x:c r="C1" s="8" t="str">
        <x:v>Unvan</x:v>
      </x:c>
      <x:c r="D1" s="8" t="str">
        <x:v>Ekip Skoru</x:v>
      </x:c>
      <x:c r="E1" s="8" t="str">
        <x:v>Bireysel Skor</x:v>
      </x:c>
      <x:c r="F1" s="8" t="str">
        <x:v>Çalışma Oranı</x:v>
      </x:c>
      <x:c r="G1" s="8" t="str">
        <x:v>Ücret Katsayısı</x:v>
      </x:c>
      <x:c r="H1" s="8" t="str">
        <x:v>Kıdem (Ay)</x:v>
      </x:c>
      <x:c r="I1" s="8" t="str">
        <x:v>Durum</x:v>
      </x:c>
      <x:c r="J1" s="8" t="str">
        <x:v>Ağırlıklı Skor</x:v>
      </x:c>
      <x:c r="K1" s="8" t="str">
        <x:v>Dağıtım Ağırlığı</x:v>
      </x:c>
      <x:c r="L1" s="8" t="str">
        <x:v>Tahmini Pay</x:v>
      </x:c>
      <x:c r="M1" s="8" t="str">
        <x:v>Uygunluk</x:v>
      </x:c>
    </x:row>
    <x:row r="2">
      <x:c r="A2" s="9" t="str">
        <x:v>Ayşe Demir</x:v>
      </x:c>
      <x:c r="B2" s="10" t="str">
        <x:v>Finans</x:v>
      </x:c>
      <x:c r="C2" s="10" t="str">
        <x:v>Finans Uzmanı</x:v>
      </x:c>
      <x:c r="D2" s="18" t="n">
        <x:v>92</x:v>
      </x:c>
      <x:c r="E2" s="18" t="n">
        <x:v>94</x:v>
      </x:c>
      <x:c r="F2" s="21" t="n">
        <x:v>1</x:v>
      </x:c>
      <x:c r="G2" s="24" t="n">
        <x:v>1.15</x:v>
      </x:c>
      <x:c r="H2" s="10" t="n">
        <x:v>54</x:v>
      </x:c>
      <x:c r="I2" s="10" t="str">
        <x:v>Onaylandı</x:v>
      </x:c>
      <x:c r="J2" s="27" t="n">
        <x:f>('Varsayımlar'!$B$7*'Varsayımlar'!$B$4+D2*'Varsayımlar'!$B$5+E2*'Varsayımlar'!$B$6)</x:f>
        <x:v>91</x:v>
      </x:c>
      <x:c r="K2" s="30" t="n">
        <x:f>IF(M2="Uygun",G2*F2*MIN(J2/100,'Varsayımlar'!$B$9),0)</x:f>
        <x:v>1.0465</x:v>
      </x:c>
      <x:c r="L2" s="33" t="n">
        <x:f>IF(K2=0,0,'Varsayımlar'!$B$3*K2/SUM($K$2:$K$9))</x:f>
        <x:v>4211108.875612789</x:v>
      </x:c>
      <x:c r="M2" s="11" t="str">
        <x:f>IF(AND(H2&gt;='Varsayımlar'!$B$10,I2&lt;&gt;"Uygun Değil",J2&gt;='Varsayımlar'!$B$8),"Uygun","Uygun Değil")</x:f>
        <x:v>Uygun</x:v>
      </x:c>
    </x:row>
    <x:row r="3">
      <x:c r="A3" s="12" t="str">
        <x:v>Mert Kaya</x:v>
      </x:c>
      <x:c r="B3" s="13" t="str">
        <x:v>Satış</x:v>
      </x:c>
      <x:c r="C3" s="13" t="str">
        <x:v>Satış Yöneticisi</x:v>
      </x:c>
      <x:c r="D3" s="19" t="n">
        <x:v>89</x:v>
      </x:c>
      <x:c r="E3" s="19" t="n">
        <x:v>91</x:v>
      </x:c>
      <x:c r="F3" s="22" t="n">
        <x:v>1</x:v>
      </x:c>
      <x:c r="G3" s="25" t="n">
        <x:v>1.35</x:v>
      </x:c>
      <x:c r="H3" s="13" t="n">
        <x:v>71</x:v>
      </x:c>
      <x:c r="I3" s="13" t="str">
        <x:v>Onaylandı</x:v>
      </x:c>
      <x:c r="J3" s="28" t="n">
        <x:f>('Varsayımlar'!$B$7*'Varsayımlar'!$B$4+D3*'Varsayımlar'!$B$5+E3*'Varsayımlar'!$B$6)</x:f>
        <x:v>89.2</x:v>
      </x:c>
      <x:c r="K3" s="31" t="n">
        <x:f>IF(M3="Uygun",G3*F3*MIN(J3/100,'Varsayımlar'!$B$9),0)</x:f>
        <x:v>1.2042000000000002</x:v>
      </x:c>
      <x:c r="L3" s="34" t="n">
        <x:f>IF(K3=0,0,'Varsayımlar'!$B$3*K3/SUM($K$2:$K$9))</x:f>
        <x:v>4845692.602019036</x:v>
      </x:c>
      <x:c r="M3" s="14" t="str">
        <x:f>IF(AND(H3&gt;='Varsayımlar'!$B$10,I3&lt;&gt;"Uygun Değil",J3&gt;='Varsayımlar'!$B$8),"Uygun","Uygun Değil")</x:f>
        <x:v>Uygun</x:v>
      </x:c>
    </x:row>
    <x:row r="4">
      <x:c r="A4" s="12" t="str">
        <x:v>Selin Arslan</x:v>
      </x:c>
      <x:c r="B4" s="13" t="str">
        <x:v>Pazarlama</x:v>
      </x:c>
      <x:c r="C4" s="13" t="str">
        <x:v>Pazarlama Uzmanı</x:v>
      </x:c>
      <x:c r="D4" s="19" t="n">
        <x:v>86</x:v>
      </x:c>
      <x:c r="E4" s="19" t="n">
        <x:v>83</x:v>
      </x:c>
      <x:c r="F4" s="22" t="n">
        <x:v>1</x:v>
      </x:c>
      <x:c r="G4" s="25" t="n">
        <x:v>1.05</x:v>
      </x:c>
      <x:c r="H4" s="13" t="n">
        <x:v>28</x:v>
      </x:c>
      <x:c r="I4" s="13" t="str">
        <x:v>Yönetici Onayı</x:v>
      </x:c>
      <x:c r="J4" s="28" t="n">
        <x:f>('Varsayımlar'!$B$7*'Varsayımlar'!$B$4+D4*'Varsayımlar'!$B$5+E4*'Varsayımlar'!$B$6)</x:f>
        <x:v>85.9</x:v>
      </x:c>
      <x:c r="K4" s="31" t="n">
        <x:f>IF(M4="Uygun",G4*F4*MIN(J4/100,'Varsayımlar'!$B$9),0)</x:f>
        <x:v>0.9019500000000001</x:v>
      </x:c>
      <x:c r="L4" s="34" t="n">
        <x:f>IF(K4=0,0,'Varsayımlar'!$B$3*K4/SUM($K$2:$K$9))</x:f>
        <x:v>3629440.659683665</x:v>
      </x:c>
      <x:c r="M4" s="14" t="str">
        <x:f>IF(AND(H4&gt;='Varsayımlar'!$B$10,I4&lt;&gt;"Uygun Değil",J4&gt;='Varsayımlar'!$B$8),"Uygun","Uygun Değil")</x:f>
        <x:v>Uygun</x:v>
      </x:c>
    </x:row>
    <x:row r="5">
      <x:c r="A5" s="12" t="str">
        <x:v>Emre Yıldız</x:v>
      </x:c>
      <x:c r="B5" s="13" t="str">
        <x:v>Satış</x:v>
      </x:c>
      <x:c r="C5" s="13" t="str">
        <x:v>Satış Temsilcisi</x:v>
      </x:c>
      <x:c r="D5" s="19" t="n">
        <x:v>89</x:v>
      </x:c>
      <x:c r="E5" s="19" t="n">
        <x:v>77</x:v>
      </x:c>
      <x:c r="F5" s="22" t="n">
        <x:v>1</x:v>
      </x:c>
      <x:c r="G5" s="25" t="n">
        <x:v>0.95</x:v>
      </x:c>
      <x:c r="H5" s="13" t="n">
        <x:v>19</x:v>
      </x:c>
      <x:c r="I5" s="13" t="str">
        <x:v>Eksik Hedef</x:v>
      </x:c>
      <x:c r="J5" s="28" t="n">
        <x:f>('Varsayımlar'!$B$7*'Varsayımlar'!$B$4+D5*'Varsayımlar'!$B$5+E5*'Varsayımlar'!$B$6)</x:f>
        <x:v>85</x:v>
      </x:c>
      <x:c r="K5" s="31" t="n">
        <x:f>IF(M5="Uygun",G5*F5*MIN(J5/100,'Varsayımlar'!$B$9),0)</x:f>
        <x:v>0.8075</x:v>
      </x:c>
      <x:c r="L5" s="34" t="n">
        <x:f>IF(K5=0,0,'Varsayımlar'!$B$3*K5/SUM($K$2:$K$9))</x:f>
        <x:v>3249374.5026825867</x:v>
      </x:c>
      <x:c r="M5" s="14" t="str">
        <x:f>IF(AND(H5&gt;='Varsayımlar'!$B$10,I5&lt;&gt;"Uygun Değil",J5&gt;='Varsayımlar'!$B$8),"Uygun","Uygun Değil")</x:f>
        <x:v>Uygun</x:v>
      </x:c>
    </x:row>
    <x:row r="6">
      <x:c r="A6" s="12" t="str">
        <x:v>Zeynep Koç</x:v>
      </x:c>
      <x:c r="B6" s="13" t="str">
        <x:v>İnsan Kaynakları</x:v>
      </x:c>
      <x:c r="C6" s="13" t="str">
        <x:v>İK İş Ortağı</x:v>
      </x:c>
      <x:c r="D6" s="19" t="n">
        <x:v>90</x:v>
      </x:c>
      <x:c r="E6" s="19" t="n">
        <x:v>88</x:v>
      </x:c>
      <x:c r="F6" s="22" t="n">
        <x:v>0.83</x:v>
      </x:c>
      <x:c r="G6" s="25" t="n">
        <x:v>1.1</x:v>
      </x:c>
      <x:c r="H6" s="13" t="n">
        <x:v>16</x:v>
      </x:c>
      <x:c r="I6" s="13" t="str">
        <x:v>Yönetici Onayı</x:v>
      </x:c>
      <x:c r="J6" s="28" t="n">
        <x:f>('Varsayımlar'!$B$7*'Varsayımlar'!$B$4+D6*'Varsayımlar'!$B$5+E6*'Varsayımlar'!$B$6)</x:f>
        <x:v>88.6</x:v>
      </x:c>
      <x:c r="K6" s="31" t="n">
        <x:f>IF(M6="Uygun",G6*F6*MIN(J6/100,'Varsayımlar'!$B$9),0)</x:f>
        <x:v>0.8089179999999999</x:v>
      </x:c>
      <x:c r="L6" s="34" t="n">
        <x:f>IF(K6=0,0,'Varsayımlar'!$B$3*K6/SUM($K$2:$K$9))</x:f>
        <x:v>3255080.5250290926</x:v>
      </x:c>
      <x:c r="M6" s="14" t="str">
        <x:f>IF(AND(H6&gt;='Varsayımlar'!$B$10,I6&lt;&gt;"Uygun Değil",J6&gt;='Varsayımlar'!$B$8),"Uygun","Uygun Değil")</x:f>
        <x:v>Uygun</x:v>
      </x:c>
    </x:row>
    <x:row r="7">
      <x:c r="A7" s="12" t="str">
        <x:v>Can Aydın</x:v>
      </x:c>
      <x:c r="B7" s="13" t="str">
        <x:v>Operasyon</x:v>
      </x:c>
      <x:c r="C7" s="13" t="str">
        <x:v>Operasyon Sorumlusu</x:v>
      </x:c>
      <x:c r="D7" s="19" t="n">
        <x:v>84</x:v>
      </x:c>
      <x:c r="E7" s="19" t="n">
        <x:v>86</x:v>
      </x:c>
      <x:c r="F7" s="22" t="n">
        <x:v>1</x:v>
      </x:c>
      <x:c r="G7" s="25" t="n">
        <x:v>1</x:v>
      </x:c>
      <x:c r="H7" s="13" t="n">
        <x:v>42</x:v>
      </x:c>
      <x:c r="I7" s="13" t="str">
        <x:v>Onaylandı</x:v>
      </x:c>
      <x:c r="J7" s="28" t="n">
        <x:f>('Varsayımlar'!$B$7*'Varsayımlar'!$B$4+D7*'Varsayımlar'!$B$5+E7*'Varsayımlar'!$B$6)</x:f>
        <x:v>86.2</x:v>
      </x:c>
      <x:c r="K7" s="31" t="n">
        <x:f>IF(M7="Uygun",G7*F7*MIN(J7/100,'Varsayımlar'!$B$9),0)</x:f>
        <x:v>0.862</x:v>
      </x:c>
      <x:c r="L7" s="34" t="n">
        <x:f>IF(K7=0,0,'Varsayımlar'!$B$3*K7/SUM($K$2:$K$9))</x:f>
        <x:v>3468682.1316562104</x:v>
      </x:c>
      <x:c r="M7" s="14" t="str">
        <x:f>IF(AND(H7&gt;='Varsayımlar'!$B$10,I7&lt;&gt;"Uygun Değil",J7&gt;='Varsayımlar'!$B$8),"Uygun","Uygun Değil")</x:f>
        <x:v>Uygun</x:v>
      </x:c>
    </x:row>
    <x:row r="8">
      <x:c r="A8" s="12" t="str">
        <x:v>Ece Şahin</x:v>
      </x:c>
      <x:c r="B8" s="13" t="str">
        <x:v>Satınalma</x:v>
      </x:c>
      <x:c r="C8" s="13" t="str">
        <x:v>Satınalma Uzmanı</x:v>
      </x:c>
      <x:c r="D8" s="19" t="n">
        <x:v>87</x:v>
      </x:c>
      <x:c r="E8" s="19" t="n">
        <x:v>90</x:v>
      </x:c>
      <x:c r="F8" s="22" t="n">
        <x:v>0.58</x:v>
      </x:c>
      <x:c r="G8" s="25" t="n">
        <x:v>1.08</x:v>
      </x:c>
      <x:c r="H8" s="13" t="n">
        <x:v>7</x:v>
      </x:c>
      <x:c r="I8" s="13" t="str">
        <x:v>Yönetici Onayı</x:v>
      </x:c>
      <x:c r="J8" s="28" t="n">
        <x:f>('Varsayımlar'!$B$7*'Varsayımlar'!$B$4+D8*'Varsayımlar'!$B$5+E8*'Varsayımlar'!$B$6)</x:f>
        <x:v>88.3</x:v>
      </x:c>
      <x:c r="K8" s="31" t="n">
        <x:f>IF(M8="Uygun",G8*F8*MIN(J8/100,'Varsayımlar'!$B$9),0)</x:f>
        <x:v>0.5531111999999999</x:v>
      </x:c>
      <x:c r="L8" s="34" t="n">
        <x:f>IF(K8=0,0,'Varsayımlar'!$B$3*K8/SUM($K$2:$K$9))</x:f>
        <x:v>2225715.7033166173</x:v>
      </x:c>
      <x:c r="M8" s="14" t="str">
        <x:f>IF(AND(H8&gt;='Varsayımlar'!$B$10,I8&lt;&gt;"Uygun Değil",J8&gt;='Varsayımlar'!$B$8),"Uygun","Uygun Değil")</x:f>
        <x:v>Uygun</x:v>
      </x:c>
    </x:row>
    <x:row r="9">
      <x:c r="A9" s="15" t="str">
        <x:v>Burak Çetin</x:v>
      </x:c>
      <x:c r="B9" s="16" t="str">
        <x:v>Finans</x:v>
      </x:c>
      <x:c r="C9" s="16" t="str">
        <x:v>Finans Analisti</x:v>
      </x:c>
      <x:c r="D9" s="20" t="n">
        <x:v>92</x:v>
      </x:c>
      <x:c r="E9" s="20" t="n">
        <x:v>72</x:v>
      </x:c>
      <x:c r="F9" s="23" t="n">
        <x:v>1</x:v>
      </x:c>
      <x:c r="G9" s="26" t="n">
        <x:v>0.9</x:v>
      </x:c>
      <x:c r="H9" s="16" t="n">
        <x:v>4</x:v>
      </x:c>
      <x:c r="I9" s="16" t="str">
        <x:v>Uygun Değil</x:v>
      </x:c>
      <x:c r="J9" s="29" t="n">
        <x:f>('Varsayımlar'!$B$7*'Varsayımlar'!$B$4+D9*'Varsayımlar'!$B$5+E9*'Varsayımlar'!$B$6)</x:f>
        <x:v>84.39999999999999</x:v>
      </x:c>
      <x:c r="K9" s="32" t="n">
        <x:f>IF(M9="Uygun",G9*F9*MIN(J9/100,'Varsayımlar'!$B$9),0)</x:f>
        <x:v>0</x:v>
      </x:c>
      <x:c r="L9" s="35" t="n">
        <x:f>IF(K9=0,0,'Varsayımlar'!$B$3*K9/SUM($K$2:$K$9))</x:f>
        <x:v>0</x:v>
      </x:c>
      <x:c r="M9" s="17" t="str">
        <x:f>IF(AND(H9&gt;='Varsayımlar'!$B$10,I9&lt;&gt;"Uygun Değil",J9&gt;='Varsayımlar'!$B$8),"Uygun","Uygun Değil")</x:f>
        <x:v>Uygun Değil</x:v>
      </x:c>
    </x:row>
  </x:sheetData>
  <x:conditionalFormatting sqref="M2:M9">
    <x:cfRule type="containsText" dxfId="0" priority="1" operator="containsText" text="Uygun Değil"/>
    <x:cfRule type="containsText" dxfId="1" priority="2" operator="containsText" text="Uygun"/>
  </x:conditionalFormatting>
  <x:pageMargins left="0.7" right="0.7" top="0.75" bottom="0.75" header="0.3" footer="0.3"/>
  <x:tableParts count="1">
    <x:tablePart xmlns:r="http://schemas.openxmlformats.org/officeDocument/2006/relationships" r:id="R73387b541f0f431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25" hidden="0" customWidth="1"/>
    <x:col min="2" max="2" width="11" hidden="0" customWidth="1"/>
    <x:col min="3" max="3" width="11" hidden="0" customWidth="1"/>
    <x:col min="4" max="4" width="24.6299991607666" hidden="0" customWidth="1"/>
  </x:cols>
  <x:sheetData>
    <x:row r="1">
      <x:c r="A1" s="7" t="str">
        <x:v>Kontrol</x:v>
      </x:c>
      <x:c r="B1" s="7" t="str">
        <x:v>Sonuç</x:v>
      </x:c>
      <x:c r="C1" s="7" t="str">
        <x:v>Beklenen</x:v>
      </x:c>
      <x:c r="D1" s="7" t="str">
        <x:v>Açıklama</x:v>
      </x:c>
    </x:row>
    <x:row r="2">
      <x:c r="A2" s="47" t="str">
        <x:v>MODEL STATUS</x:v>
      </x:c>
      <x:c r="B2" t="str">
        <x:f>IF(AND(B3=C3,B4=C4),"PASS","FAIL")</x:f>
        <x:v>PASS</x:v>
      </x:c>
      <x:c r="C2" t="str">
        <x:v>PASS</x:v>
      </x:c>
      <x:c r="D2" t="str">
        <x:v>Tüm kontroller geçmeli</x:v>
      </x:c>
    </x:row>
    <x:row r="3">
      <x:c r="A3" s="47" t="str">
        <x:v>Pay toplamı</x:v>
      </x:c>
      <x:c r="B3" s="5" t="n">
        <x:f>SUM('Dağıtım Listesi'!L2:L9)</x:f>
        <x:v>24885095</x:v>
      </x:c>
      <x:c r="C3" s="5" t="n">
        <x:v>24885095</x:v>
      </x:c>
      <x:c r="D3" t="str">
        <x:v>Dağıtım listesi havuza eşit olmalı</x:v>
      </x:c>
    </x:row>
    <x:row r="4">
      <x:c r="A4" s="47" t="str">
        <x:v>Ağırlık toplamı</x:v>
      </x:c>
      <x:c r="B4" s="6" t="n">
        <x:f>SUM('Varsayımlar'!B4:B6)</x:f>
        <x:v>1</x:v>
      </x:c>
      <x:c r="C4" s="6" t="n">
        <x:v>1</x:v>
      </x:c>
      <x:c r="D4" t="str">
        <x:v>Şirket + ekip + bireysel = %100</x:v>
      </x:c>
    </x:row>
  </x:sheetData>
  <x:pageMargins left="0.7" right="0.7" top="0.75" bottom="0.75" header="0.3" footer="0.3"/>
</x:worksheet>
</file>